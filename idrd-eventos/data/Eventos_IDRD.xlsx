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  <sheet name="Consulta" sheetId="3" state="visible" r:id="rId5"/>
    <sheet name="Lis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<sst xmlns="http://schemas.openxmlformats.org/spreadsheetml/2006/main" count="153" uniqueCount="84">
  <si>
    <t xml:space="preserve">Base de datos de eventos deportivos (ejemplo)</t>
  </si>
  <si>
    <t xml:space="preserve">Datos SIMULADOS con fines ilustrativos; no son cifras oficiales del IDRD.</t>
  </si>
  <si>
    <t xml:space="preserve">ID</t>
  </si>
  <si>
    <t xml:space="preserve">Categoria</t>
  </si>
  <si>
    <t xml:space="preserve">Disciplina</t>
  </si>
  <si>
    <t xml:space="preserve">Mes (1-12)</t>
  </si>
  <si>
    <t xml:space="preserve">Localidad</t>
  </si>
  <si>
    <t xml:space="preserve">Asistentes</t>
  </si>
  <si>
    <t xml:space="preserve">Evento</t>
  </si>
  <si>
    <t xml:space="preserve">Coincide</t>
  </si>
  <si>
    <t xml:space="preserve">COMO USAR</t>
  </si>
  <si>
    <t xml:space="preserve">En equipo</t>
  </si>
  <si>
    <t xml:space="preserve">Futbol</t>
  </si>
  <si>
    <t xml:space="preserve">Kennedy</t>
  </si>
  <si>
    <t xml:space="preserve">Texto azul = dato que puedes editar.</t>
  </si>
  <si>
    <t xml:space="preserve">Suba</t>
  </si>
  <si>
    <t xml:space="preserve">Texto negro = formula (no tocar).</t>
  </si>
  <si>
    <t xml:space="preserve">Usaquen</t>
  </si>
  <si>
    <t xml:space="preserve">Para agregar un evento: escribe una nueva fila</t>
  </si>
  <si>
    <t xml:space="preserve">debajo de la ultima y amplia los rangos de</t>
  </si>
  <si>
    <t xml:space="preserve">Engativa</t>
  </si>
  <si>
    <t xml:space="preserve">las hojas Resumen y Consulta si es necesario.</t>
  </si>
  <si>
    <t xml:space="preserve">Baloncesto</t>
  </si>
  <si>
    <t xml:space="preserve">Chapinero</t>
  </si>
  <si>
    <t xml:space="preserve">Los datos son SIMULADOS. Reemplazalos con</t>
  </si>
  <si>
    <t xml:space="preserve">Teusaquillo</t>
  </si>
  <si>
    <t xml:space="preserve">el calendario real de eventos 2026 del IDRD.</t>
  </si>
  <si>
    <t xml:space="preserve">Voleibol</t>
  </si>
  <si>
    <t xml:space="preserve">Acuaticos</t>
  </si>
  <si>
    <t xml:space="preserve">Natacion</t>
  </si>
  <si>
    <t xml:space="preserve">Individuales</t>
  </si>
  <si>
    <t xml:space="preserve">Atletismo</t>
  </si>
  <si>
    <t xml:space="preserve">Ciclismo</t>
  </si>
  <si>
    <t xml:space="preserve">Otras</t>
  </si>
  <si>
    <t xml:space="preserve">Ajedrez</t>
  </si>
  <si>
    <t xml:space="preserve">Resumen y analisis</t>
  </si>
  <si>
    <t xml:space="preserve">Todo se calcula con formulas: si cambias la hoja Datos, se actualiza solo.</t>
  </si>
  <si>
    <t xml:space="preserve">INDICADORES CLAVE</t>
  </si>
  <si>
    <t xml:space="preserve">Total de eventos</t>
  </si>
  <si>
    <t xml:space="preserve">Total de asistentes</t>
  </si>
  <si>
    <t xml:space="preserve">Promedio por evento</t>
  </si>
  <si>
    <t xml:space="preserve">1. EVENTOS Y ASISTENTES POR CATEGORIA</t>
  </si>
  <si>
    <t xml:space="preserve">Eventos</t>
  </si>
  <si>
    <t xml:space="preserve">% de eventos</t>
  </si>
  <si>
    <t xml:space="preserve">% asistentes</t>
  </si>
  <si>
    <t xml:space="preserve">Prom. por evento</t>
  </si>
  <si>
    <t xml:space="preserve">Total</t>
  </si>
  <si>
    <t xml:space="preserve">Analisis:</t>
  </si>
  <si>
    <t xml:space="preserve">2. DISCIPLINAS DE DEPORTES EN EQUIPO</t>
  </si>
  <si>
    <t xml:space="preserve">3. EVENTOS EN EQUIPO POR MES</t>
  </si>
  <si>
    <t xml:space="preserve">Mes</t>
  </si>
  <si>
    <t xml:space="preserve">Eventos en equipo</t>
  </si>
  <si>
    <t xml:space="preserve">Meses con eventos:</t>
  </si>
  <si>
    <t xml:space="preserve">Mes(es) pico:</t>
  </si>
  <si>
    <t xml:space="preserve">Consulta del usuario (caso de Laura)</t>
  </si>
  <si>
    <t xml:space="preserve">Elige los filtros en las celdas amarillas y el sistema muestra los eventos que coinciden.</t>
  </si>
  <si>
    <t xml:space="preserve">FILTROS</t>
  </si>
  <si>
    <t xml:space="preserve">Categoria:</t>
  </si>
  <si>
    <t xml:space="preserve">Eventos que coinciden:</t>
  </si>
  <si>
    <t xml:space="preserve">Localidad:</t>
  </si>
  <si>
    <t xml:space="preserve">Eventos de esa categoria (total):</t>
  </si>
  <si>
    <t xml:space="preserve">Reduccion de la busqueda:</t>
  </si>
  <si>
    <t xml:space="preserve">EVENTOS QUE COINCIDEN CON TUS FILTROS</t>
  </si>
  <si>
    <t xml:space="preserve">N.</t>
  </si>
  <si>
    <t xml:space="preserve">Se muestran hasta 10 resultados.</t>
  </si>
  <si>
    <t xml:space="preserve">Conclusion:</t>
  </si>
  <si>
    <t xml:space="preserve">Leyenda: celda amarilla = filtro editable (menu desplegable). Resultados = formulas.</t>
  </si>
  <si>
    <t xml:space="preserve">Listas auxiliares</t>
  </si>
  <si>
    <t xml:space="preserve">Sirven para los menus desplegables y para nombrar los meses.</t>
  </si>
  <si>
    <t xml:space="preserve">Categorias</t>
  </si>
  <si>
    <t xml:space="preserve">Localidades</t>
  </si>
  <si>
    <t xml:space="preserve">Meses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</si>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</sst>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General"/>
    <numFmt numFmtId="167" formatCode="0"/>
    <numFmt numFmtId="168" formatCode="#,##0.0"/>
    <numFmt numFmtId="169" formatCode="@"/>
    <numFmt numFmtId="170" formatCode="0.0%"/>
    <numFmt numFmtId="171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9FD8C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999999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2"/>
      <color rgb="FF0B2A4A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2A59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  <font>
      <b val="true"/>
      <sz val="14"/>
      <color rgb="FF12A594"/>
      <name val="Arial"/>
      <family val="0"/>
      <charset val="1"/>
    </font>
    <font>
      <i val="true"/>
      <sz val="9"/>
      <color rgb="FF5B6B7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  <fill>
      <patternFill patternType="solid">
        <fgColor rgb="FF5B6B7C"/>
        <bgColor rgb="FF4F81BD"/>
      </patternFill>
    </fill>
    <fill>
      <patternFill patternType="solid">
        <fgColor rgb="FF12A594"/>
        <bgColor rgb="FF008080"/>
      </patternFill>
    </fill>
    <fill>
      <patternFill patternType="solid">
        <fgColor rgb="FFF3F7FA"/>
        <bgColor rgb="FFF9F9F9"/>
      </patternFill>
    </fill>
    <fill>
      <patternFill patternType="solid">
        <fgColor rgb="FFE1ECF4"/>
        <bgColor rgb="FFF3F7F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5A52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1ECF4"/>
      <rgbColor rgb="FF660066"/>
      <rgbColor rgb="FFFF8080"/>
      <rgbColor rgb="FF0066CC"/>
      <rgbColor rgb="FFC9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A"/>
      <rgbColor rgb="FFCCFFCC"/>
      <rgbColor rgb="FFFFFF99"/>
      <rgbColor rgb="FF9FD8CF"/>
      <rgbColor rgb="FFFF99CC"/>
      <rgbColor rgb="FFCC99FF"/>
      <rgbColor rgb="FFFFCC99"/>
      <rgbColor rgb="FF4F81BD"/>
      <rgbColor rgb="FF33CCCC"/>
      <rgbColor rgb="FF99CC00"/>
      <rgbColor rgb="FFFFCC00"/>
      <rgbColor rgb="FFF5A524"/>
      <rgbColor rgb="FFFF6600"/>
      <rgbColor rgb="FF5B6B7C"/>
      <rgbColor rgb="FF999999"/>
      <rgbColor rgb="FF0B2A4A"/>
      <rgbColor rgb="FF12A594"/>
      <rgbColor rgb="FF003300"/>
      <rgbColor rgb="FF333300"/>
      <rgbColor rgb="FF993300"/>
      <rgbColor rgb="FF993366"/>
      <rgbColor rgb="FF164B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Resumen!B10</c:f>
              <c:strCache>
                <c:ptCount val="1"/>
                <c:pt idx="0">
                  <c:v>Eventos</c:v>
                </c:pt>
              </c:strCache>
            </c:strRef>
          </c:tx>
          <c:spPr>
            <a:solidFill>
              <a:srgbClr val="12a59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Resumen!$A$11:$A$14</c:f>
              <c:strCache>
                <c:ptCount val="4"/>
                <c:pt idx="0">
                  <c:v>En equipo</c:v>
                </c:pt>
                <c:pt idx="1">
                  <c:v>Acuaticos</c:v>
                </c:pt>
                <c:pt idx="2">
                  <c:v>Individuales</c:v>
                </c:pt>
                <c:pt idx="3">
                  <c:v>Otras</c:v>
                </c:pt>
              </c:strCache>
            </c:strRef>
          </c:cat>
          <c:val>
            <c:numRef>
              <c:f>Resumen!$B$11:$B$14</c:f>
              <c:numCache>
                <c:formatCode>0</c:formatCode>
                <c:ptCount val="4"/>
                <c:pt idx="0">
                  <c:v>13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77269322"/>
        <c:axId val="1633285"/>
      </c:barChart>
      <c:catAx>
        <c:axId val="77269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3285"/>
        <c:crosses val="autoZero"/>
        <c:auto val="1"/>
        <c:lblAlgn val="ctr"/>
        <c:lblOffset val="100"/>
        <c:noMultiLvlLbl val="0"/>
      </c:catAx>
      <c:valAx>
        <c:axId val="1633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693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Asistentes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Resumen!D10</c:f>
              <c:strCache>
                <c:ptCount val="1"/>
                <c:pt idx="0">
                  <c:v>Asistentes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2a59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64b7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5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b6b7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Resumen!$A$11:$A$14</c:f>
              <c:strCache>
                <c:ptCount val="4"/>
                <c:pt idx="0">
                  <c:v>En equipo</c:v>
                </c:pt>
                <c:pt idx="1">
                  <c:v>Acuaticos</c:v>
                </c:pt>
                <c:pt idx="2">
                  <c:v>Individuales</c:v>
                </c:pt>
                <c:pt idx="3">
                  <c:v>Otras</c:v>
                </c:pt>
              </c:strCache>
            </c:strRef>
          </c:cat>
          <c:val>
            <c:numRef>
              <c:f>Resumen!$D$11:$D$14</c:f>
              <c:numCache>
                <c:formatCode>#,##0</c:formatCode>
                <c:ptCount val="4"/>
                <c:pt idx="0">
                  <c:v>1350</c:v>
                </c:pt>
                <c:pt idx="1">
                  <c:v>95</c:v>
                </c:pt>
                <c:pt idx="2">
                  <c:v>660</c:v>
                </c:pt>
                <c:pt idx="3">
                  <c:v>40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Eventos en equipo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Resumen!B28</c:f>
              <c:strCache>
                <c:ptCount val="1"/>
                <c:pt idx="0">
                  <c:v>Eventos en equipo</c:v>
                </c:pt>
              </c:strCache>
            </c:strRef>
          </c:tx>
          <c:spPr>
            <a:solidFill>
              <a:srgbClr val="f5a52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Resumen!$A$29:$A$40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Resumen!$B$29:$B$40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2574397"/>
        <c:axId val="60581286"/>
      </c:barChart>
      <c:catAx>
        <c:axId val="12574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81286"/>
        <c:crosses val="autoZero"/>
        <c:auto val="1"/>
        <c:lblAlgn val="ctr"/>
        <c:lblOffset val="100"/>
        <c:noMultiLvlLbl val="0"/>
      </c:catAx>
      <c:valAx>
        <c:axId val="60581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74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296280</xdr:colOff>
      <xdr:row>15</xdr:row>
      <xdr:rowOff>72720</xdr:rowOff>
    </xdr:to>
    <xdr:graphicFrame>
      <xdr:nvGraphicFramePr>
        <xdr:cNvPr id="0" name="Chart 1"/>
        <xdr:cNvGraphicFramePr/>
      </xdr:nvGraphicFramePr>
      <xdr:xfrm>
        <a:off x="789444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39960</xdr:rowOff>
    </xdr:from>
    <xdr:to>
      <xdr:col>17</xdr:col>
      <xdr:colOff>296280</xdr:colOff>
      <xdr:row>28</xdr:row>
      <xdr:rowOff>133560</xdr:rowOff>
    </xdr:to>
    <xdr:graphicFrame>
      <xdr:nvGraphicFramePr>
        <xdr:cNvPr id="1" name="Chart 2"/>
        <xdr:cNvGraphicFramePr/>
      </xdr:nvGraphicFramePr>
      <xdr:xfrm>
        <a:off x="7894440" y="3828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31</xdr:row>
      <xdr:rowOff>119880</xdr:rowOff>
    </xdr:from>
    <xdr:to>
      <xdr:col>17</xdr:col>
      <xdr:colOff>296280</xdr:colOff>
      <xdr:row>45</xdr:row>
      <xdr:rowOff>152640</xdr:rowOff>
    </xdr:to>
    <xdr:graphicFrame>
      <xdr:nvGraphicFramePr>
        <xdr:cNvPr id="2" name="Chart 3"/>
        <xdr:cNvGraphicFramePr/>
      </xdr:nvGraphicFramePr>
      <xdr:xfrm>
        <a:off x="7894440" y="7086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42"/>
    <col collapsed="false" customWidth="true" hidden="false" outlineLevel="0" max="10" min="10" style="0" width="8"/>
    <col collapsed="false" customWidth="true" hidden="false" outlineLevel="0" max="11" min="11" style="0" width="8"/>
  </cols>
  <sheetData>
    <row r="1" customFormat="false" ht="30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6" t="s">
        <v>10</v>
      </c>
      <c r="J4" s="4" t="inlineStr">
        <is>
          <t>Dia</t>
        </is>
      </c>
      <c r="K4" s="4" t="inlineStr">
        <is>
          <t>Anio</t>
        </is>
      </c>
    </row>
    <row r="5" customFormat="false" ht="15" hidden="false" customHeight="false" outlineLevel="0" collapsed="false">
      <c r="A5" s="7" t="n">
        <v>1</v>
      </c>
      <c r="B5" s="8" t="s">
        <v>11</v>
      </c>
      <c r="C5" s="8" t="s">
        <v>12</v>
      </c>
      <c r="D5" s="9" t="n">
        <v>2</v>
      </c>
      <c r="E5" s="8" t="s">
        <v>13</v>
      </c>
      <c r="F5" s="10" t="n">
        <v>120</v>
      </c>
      <c r="G5" s="11" t="str">
        <f aca="false">C5&amp;" - "&amp;E5&amp;" ("&amp;INDEX(Listas!$D$5:$D$16,D5)&amp;")"</f>
        <v>Futbol - Kennedy (Feb)</v>
      </c>
      <c r="H5" s="12" t="n">
        <f aca="false">IF(AND(B5=Consulta!$B$5,E5=Consulta!$B$6),COUNTIFS($B$5:B5,Consulta!$B$5,$E$5:E5,Consulta!$B$6),"")</f>
        <v>1</v>
      </c>
      <c r="I5" s="13" t="s">
        <v>14</v>
      </c>
      <c r="J5" s="9" t="n">
        <v>14</v>
      </c>
      <c r="K5" s="9" t="n">
        <v>2026</v>
      </c>
    </row>
    <row r="6" customFormat="false" ht="15" hidden="false" customHeight="false" outlineLevel="0" collapsed="false">
      <c r="A6" s="14" t="n">
        <v>2</v>
      </c>
      <c r="B6" s="15" t="s">
        <v>11</v>
      </c>
      <c r="C6" s="15" t="s">
        <v>12</v>
      </c>
      <c r="D6" s="16" t="n">
        <v>3</v>
      </c>
      <c r="E6" s="15" t="s">
        <v>15</v>
      </c>
      <c r="F6" s="17" t="n">
        <v>150</v>
      </c>
      <c r="G6" s="18" t="str">
        <f aca="false">C6&amp;" - "&amp;E6&amp;" ("&amp;INDEX(Listas!$D$5:$D$16,D6)&amp;")"</f>
        <v>Futbol - Suba (Mar)</v>
      </c>
      <c r="H6" s="12" t="str">
        <f aca="false">IF(AND(B6=Consulta!$B$5,E6=Consulta!$B$6),COUNTIFS($B$5:B6,Consulta!$B$5,$E$5:E6,Consulta!$B$6),"")</f>
        <v/>
      </c>
      <c r="I6" s="13" t="s">
        <v>16</v>
      </c>
      <c r="J6" s="16" t="n">
        <v>21</v>
      </c>
      <c r="K6" s="16" t="n">
        <v>2026</v>
      </c>
    </row>
    <row r="7" customFormat="false" ht="15" hidden="false" customHeight="false" outlineLevel="0" collapsed="false">
      <c r="A7" s="7" t="n">
        <v>3</v>
      </c>
      <c r="B7" s="8" t="s">
        <v>11</v>
      </c>
      <c r="C7" s="8" t="s">
        <v>12</v>
      </c>
      <c r="D7" s="9" t="n">
        <v>5</v>
      </c>
      <c r="E7" s="8" t="s">
        <v>17</v>
      </c>
      <c r="F7" s="10" t="n">
        <v>90</v>
      </c>
      <c r="G7" s="11" t="str">
        <f aca="false">C7&amp;" - "&amp;E7&amp;" ("&amp;INDEX(Listas!$D$5:$D$16,D7)&amp;")"</f>
        <v>Futbol - Usaquen (May)</v>
      </c>
      <c r="H7" s="12" t="str">
        <f aca="false">IF(AND(B7=Consulta!$B$5,E7=Consulta!$B$6),COUNTIFS($B$5:B7,Consulta!$B$5,$E$5:E7,Consulta!$B$6),"")</f>
        <v/>
      </c>
      <c r="I7" s="13" t="s">
        <v>18</v>
      </c>
      <c r="J7" s="9" t="n">
        <v>8</v>
      </c>
      <c r="K7" s="9" t="n">
        <v>2026</v>
      </c>
    </row>
    <row r="8" customFormat="false" ht="15" hidden="false" customHeight="false" outlineLevel="0" collapsed="false">
      <c r="A8" s="14" t="n">
        <v>4</v>
      </c>
      <c r="B8" s="15" t="s">
        <v>11</v>
      </c>
      <c r="C8" s="15" t="s">
        <v>12</v>
      </c>
      <c r="D8" s="16" t="n">
        <v>6</v>
      </c>
      <c r="E8" s="15" t="s">
        <v>13</v>
      </c>
      <c r="F8" s="17" t="n">
        <v>180</v>
      </c>
      <c r="G8" s="18" t="str">
        <f aca="false">C8&amp;" - "&amp;E8&amp;" ("&amp;INDEX(Listas!$D$5:$D$16,D8)&amp;")"</f>
        <v>Futbol - Kennedy (Jun)</v>
      </c>
      <c r="H8" s="12" t="n">
        <f aca="false">IF(AND(B8=Consulta!$B$5,E8=Consulta!$B$6),COUNTIFS($B$5:B8,Consulta!$B$5,$E$5:E8,Consulta!$B$6),"")</f>
        <v>2</v>
      </c>
      <c r="I8" s="13" t="s">
        <v>19</v>
      </c>
      <c r="J8" s="16" t="n">
        <v>27</v>
      </c>
      <c r="K8" s="16" t="n">
        <v>2026</v>
      </c>
    </row>
    <row r="9" customFormat="false" ht="15" hidden="false" customHeight="false" outlineLevel="0" collapsed="false">
      <c r="A9" s="7" t="n">
        <v>5</v>
      </c>
      <c r="B9" s="8" t="s">
        <v>11</v>
      </c>
      <c r="C9" s="8" t="s">
        <v>12</v>
      </c>
      <c r="D9" s="9" t="n">
        <v>9</v>
      </c>
      <c r="E9" s="8" t="s">
        <v>20</v>
      </c>
      <c r="F9" s="10" t="n">
        <v>140</v>
      </c>
      <c r="G9" s="11" t="str">
        <f aca="false">C9&amp;" - "&amp;E9&amp;" ("&amp;INDEX(Listas!$D$5:$D$16,D9)&amp;")"</f>
        <v>Futbol - Engativa (Sep)</v>
      </c>
      <c r="H9" s="12" t="str">
        <f aca="false">IF(AND(B9=Consulta!$B$5,E9=Consulta!$B$6),COUNTIFS($B$5:B9,Consulta!$B$5,$E$5:E9,Consulta!$B$6),"")</f>
        <v/>
      </c>
      <c r="I9" s="13" t="s">
        <v>21</v>
      </c>
      <c r="J9" s="9" t="n">
        <v>16</v>
      </c>
      <c r="K9" s="9" t="n">
        <v>2026</v>
      </c>
    </row>
    <row r="10" customFormat="false" ht="15" hidden="false" customHeight="false" outlineLevel="0" collapsed="false">
      <c r="A10" s="14" t="n">
        <v>6</v>
      </c>
      <c r="B10" s="15" t="s">
        <v>11</v>
      </c>
      <c r="C10" s="15" t="s">
        <v>12</v>
      </c>
      <c r="D10" s="16" t="n">
        <v>10</v>
      </c>
      <c r="E10" s="15" t="s">
        <v>15</v>
      </c>
      <c r="F10" s="17" t="n">
        <v>160</v>
      </c>
      <c r="G10" s="18" t="str">
        <f aca="false">C10&amp;" - "&amp;E10&amp;" ("&amp;INDEX(Listas!$D$5:$D$16,D10)&amp;")"</f>
        <v>Futbol - Suba (Oct)</v>
      </c>
      <c r="H10" s="12" t="str">
        <f aca="false">IF(AND(B10=Consulta!$B$5,E10=Consulta!$B$6),COUNTIFS($B$5:B10,Consulta!$B$5,$E$5:E10,Consulta!$B$6),"")</f>
        <v/>
      </c>
      <c r="I10" s="13"/>
      <c r="J10" s="16" t="n">
        <v>20</v>
      </c>
      <c r="K10" s="16" t="n">
        <v>2026</v>
      </c>
    </row>
    <row r="11" customFormat="false" ht="15" hidden="false" customHeight="false" outlineLevel="0" collapsed="false">
      <c r="A11" s="7" t="n">
        <v>7</v>
      </c>
      <c r="B11" s="8" t="s">
        <v>11</v>
      </c>
      <c r="C11" s="8" t="s">
        <v>22</v>
      </c>
      <c r="D11" s="9" t="n">
        <v>3</v>
      </c>
      <c r="E11" s="8" t="s">
        <v>23</v>
      </c>
      <c r="F11" s="10" t="n">
        <v>70</v>
      </c>
      <c r="G11" s="11" t="str">
        <f aca="false">C11&amp;" - "&amp;E11&amp;" ("&amp;INDEX(Listas!$D$5:$D$16,D11)&amp;")"</f>
        <v>Baloncesto - Chapinero (Mar)</v>
      </c>
      <c r="H11" s="12" t="str">
        <f aca="false">IF(AND(B11=Consulta!$B$5,E11=Consulta!$B$6),COUNTIFS($B$5:B11,Consulta!$B$5,$E$5:E11,Consulta!$B$6),"")</f>
        <v/>
      </c>
      <c r="I11" s="13" t="s">
        <v>24</v>
      </c>
      <c r="J11" s="9" t="n">
        <v>12</v>
      </c>
      <c r="K11" s="9" t="n">
        <v>2026</v>
      </c>
    </row>
    <row r="12" customFormat="false" ht="15" hidden="false" customHeight="false" outlineLevel="0" collapsed="false">
      <c r="A12" s="14" t="n">
        <v>8</v>
      </c>
      <c r="B12" s="15" t="s">
        <v>11</v>
      </c>
      <c r="C12" s="15" t="s">
        <v>22</v>
      </c>
      <c r="D12" s="16" t="n">
        <v>4</v>
      </c>
      <c r="E12" s="15" t="s">
        <v>25</v>
      </c>
      <c r="F12" s="17" t="n">
        <v>85</v>
      </c>
      <c r="G12" s="18" t="str">
        <f aca="false">C12&amp;" - "&amp;E12&amp;" ("&amp;INDEX(Listas!$D$5:$D$16,D12)&amp;")"</f>
        <v>Baloncesto - Teusaquillo (Abr)</v>
      </c>
      <c r="H12" s="12" t="str">
        <f aca="false">IF(AND(B12=Consulta!$B$5,E12=Consulta!$B$6),COUNTIFS($B$5:B12,Consulta!$B$5,$E$5:E12,Consulta!$B$6),"")</f>
        <v/>
      </c>
      <c r="I12" s="13" t="s">
        <v>26</v>
      </c>
      <c r="J12" s="16" t="n">
        <v>25</v>
      </c>
      <c r="K12" s="16" t="n">
        <v>2026</v>
      </c>
    </row>
    <row r="13" customFormat="false" ht="15" hidden="false" customHeight="false" outlineLevel="0" collapsed="false">
      <c r="A13" s="7" t="n">
        <v>9</v>
      </c>
      <c r="B13" s="8" t="s">
        <v>11</v>
      </c>
      <c r="C13" s="8" t="s">
        <v>22</v>
      </c>
      <c r="D13" s="9" t="n">
        <v>7</v>
      </c>
      <c r="E13" s="8" t="s">
        <v>13</v>
      </c>
      <c r="F13" s="10" t="n">
        <v>95</v>
      </c>
      <c r="G13" s="11" t="str">
        <f aca="false">C13&amp;" - "&amp;E13&amp;" ("&amp;INDEX(Listas!$D$5:$D$16,D13)&amp;")"</f>
        <v>Baloncesto - Kennedy (Jul)</v>
      </c>
      <c r="H13" s="12" t="n">
        <f aca="false">IF(AND(B13=Consulta!$B$5,E13=Consulta!$B$6),COUNTIFS($B$5:B13,Consulta!$B$5,$E$5:E13,Consulta!$B$6),"")</f>
        <v>3</v>
      </c>
      <c r="J13" s="9" t="n">
        <v>9</v>
      </c>
      <c r="K13" s="9" t="n">
        <v>2026</v>
      </c>
    </row>
    <row r="14" customFormat="false" ht="15" hidden="false" customHeight="false" outlineLevel="0" collapsed="false">
      <c r="A14" s="14" t="n">
        <v>10</v>
      </c>
      <c r="B14" s="15" t="s">
        <v>11</v>
      </c>
      <c r="C14" s="15" t="s">
        <v>22</v>
      </c>
      <c r="D14" s="16" t="n">
        <v>10</v>
      </c>
      <c r="E14" s="15" t="s">
        <v>15</v>
      </c>
      <c r="F14" s="17" t="n">
        <v>80</v>
      </c>
      <c r="G14" s="18" t="str">
        <f aca="false">C14&amp;" - "&amp;E14&amp;" ("&amp;INDEX(Listas!$D$5:$D$16,D14)&amp;")"</f>
        <v>Baloncesto - Suba (Oct)</v>
      </c>
      <c r="H14" s="12" t="str">
        <f aca="false">IF(AND(B14=Consulta!$B$5,E14=Consulta!$B$6),COUNTIFS($B$5:B14,Consulta!$B$5,$E$5:E14,Consulta!$B$6),"")</f>
        <v/>
      </c>
      <c r="J14" s="16" t="n">
        <v>24</v>
      </c>
      <c r="K14" s="16" t="n">
        <v>2026</v>
      </c>
    </row>
    <row r="15" customFormat="false" ht="15" hidden="false" customHeight="false" outlineLevel="0" collapsed="false">
      <c r="A15" s="7" t="n">
        <v>11</v>
      </c>
      <c r="B15" s="8" t="s">
        <v>11</v>
      </c>
      <c r="C15" s="8" t="s">
        <v>27</v>
      </c>
      <c r="D15" s="9" t="n">
        <v>4</v>
      </c>
      <c r="E15" s="8" t="s">
        <v>20</v>
      </c>
      <c r="F15" s="10" t="n">
        <v>60</v>
      </c>
      <c r="G15" s="11" t="str">
        <f aca="false">C15&amp;" - "&amp;E15&amp;" ("&amp;INDEX(Listas!$D$5:$D$16,D15)&amp;")"</f>
        <v>Voleibol - Engativa (Abr)</v>
      </c>
      <c r="H15" s="12" t="str">
        <f aca="false">IF(AND(B15=Consulta!$B$5,E15=Consulta!$B$6),COUNTIFS($B$5:B15,Consulta!$B$5,$E$5:E15,Consulta!$B$6),"")</f>
        <v/>
      </c>
      <c r="J15" s="9" t="n">
        <v>18</v>
      </c>
      <c r="K15" s="9" t="n">
        <v>2026</v>
      </c>
    </row>
    <row r="16" customFormat="false" ht="15" hidden="false" customHeight="false" outlineLevel="0" collapsed="false">
      <c r="A16" s="14" t="n">
        <v>12</v>
      </c>
      <c r="B16" s="15" t="s">
        <v>11</v>
      </c>
      <c r="C16" s="15" t="s">
        <v>27</v>
      </c>
      <c r="D16" s="16" t="n">
        <v>8</v>
      </c>
      <c r="E16" s="15" t="s">
        <v>17</v>
      </c>
      <c r="F16" s="17" t="n">
        <v>55</v>
      </c>
      <c r="G16" s="18" t="str">
        <f aca="false">C16&amp;" - "&amp;E16&amp;" ("&amp;INDEX(Listas!$D$5:$D$16,D16)&amp;")"</f>
        <v>Voleibol - Usaquen (Ago)</v>
      </c>
      <c r="H16" s="12" t="str">
        <f aca="false">IF(AND(B16=Consulta!$B$5,E16=Consulta!$B$6),COUNTIFS($B$5:B16,Consulta!$B$5,$E$5:E16,Consulta!$B$6),"")</f>
        <v/>
      </c>
      <c r="J16" s="16" t="n">
        <v>5</v>
      </c>
      <c r="K16" s="16" t="n">
        <v>2026</v>
      </c>
    </row>
    <row r="17" customFormat="false" ht="15" hidden="false" customHeight="false" outlineLevel="0" collapsed="false">
      <c r="A17" s="7" t="n">
        <v>13</v>
      </c>
      <c r="B17" s="8" t="s">
        <v>11</v>
      </c>
      <c r="C17" s="8" t="s">
        <v>27</v>
      </c>
      <c r="D17" s="9" t="n">
        <v>11</v>
      </c>
      <c r="E17" s="8" t="s">
        <v>23</v>
      </c>
      <c r="F17" s="10" t="n">
        <v>65</v>
      </c>
      <c r="G17" s="11" t="str">
        <f aca="false">C17&amp;" - "&amp;E17&amp;" ("&amp;INDEX(Listas!$D$5:$D$16,D17)&amp;")"</f>
        <v>Voleibol - Chapinero (Nov)</v>
      </c>
      <c r="H17" s="12" t="str">
        <f aca="false">IF(AND(B17=Consulta!$B$5,E17=Consulta!$B$6),COUNTIFS($B$5:B17,Consulta!$B$5,$E$5:E17,Consulta!$B$6),"")</f>
        <v/>
      </c>
      <c r="J17" s="9" t="n">
        <v>7</v>
      </c>
      <c r="K17" s="9" t="n">
        <v>2026</v>
      </c>
    </row>
    <row r="18" customFormat="false" ht="15" hidden="false" customHeight="false" outlineLevel="0" collapsed="false">
      <c r="A18" s="14" t="n">
        <v>14</v>
      </c>
      <c r="B18" s="15" t="s">
        <v>28</v>
      </c>
      <c r="C18" s="15" t="s">
        <v>29</v>
      </c>
      <c r="D18" s="16" t="n">
        <v>5</v>
      </c>
      <c r="E18" s="15" t="s">
        <v>13</v>
      </c>
      <c r="F18" s="17" t="n">
        <v>45</v>
      </c>
      <c r="G18" s="18" t="str">
        <f aca="false">C18&amp;" - "&amp;E18&amp;" ("&amp;INDEX(Listas!$D$5:$D$16,D18)&amp;")"</f>
        <v>Natacion - Kennedy (May)</v>
      </c>
      <c r="H18" s="12" t="str">
        <f aca="false">IF(AND(B18=Consulta!$B$5,E18=Consulta!$B$6),COUNTIFS($B$5:B18,Consulta!$B$5,$E$5:E18,Consulta!$B$6),"")</f>
        <v/>
      </c>
      <c r="J18" s="16" t="n">
        <v>22</v>
      </c>
      <c r="K18" s="16" t="n">
        <v>2026</v>
      </c>
    </row>
    <row r="19" customFormat="false" ht="15" hidden="false" customHeight="false" outlineLevel="0" collapsed="false">
      <c r="A19" s="7" t="n">
        <v>15</v>
      </c>
      <c r="B19" s="8" t="s">
        <v>28</v>
      </c>
      <c r="C19" s="8" t="s">
        <v>29</v>
      </c>
      <c r="D19" s="9" t="n">
        <v>7</v>
      </c>
      <c r="E19" s="8" t="s">
        <v>15</v>
      </c>
      <c r="F19" s="10" t="n">
        <v>50</v>
      </c>
      <c r="G19" s="11" t="str">
        <f aca="false">C19&amp;" - "&amp;E19&amp;" ("&amp;INDEX(Listas!$D$5:$D$16,D19)&amp;")"</f>
        <v>Natacion - Suba (Jul)</v>
      </c>
      <c r="H19" s="12" t="str">
        <f aca="false">IF(AND(B19=Consulta!$B$5,E19=Consulta!$B$6),COUNTIFS($B$5:B19,Consulta!$B$5,$E$5:E19,Consulta!$B$6),"")</f>
        <v/>
      </c>
      <c r="J19" s="9" t="n">
        <v>15</v>
      </c>
      <c r="K19" s="9" t="n">
        <v>2026</v>
      </c>
    </row>
    <row r="20" customFormat="false" ht="15" hidden="false" customHeight="false" outlineLevel="0" collapsed="false">
      <c r="A20" s="14" t="n">
        <v>16</v>
      </c>
      <c r="B20" s="15" t="s">
        <v>30</v>
      </c>
      <c r="C20" s="15" t="s">
        <v>31</v>
      </c>
      <c r="D20" s="16" t="n">
        <v>3</v>
      </c>
      <c r="E20" s="15" t="s">
        <v>17</v>
      </c>
      <c r="F20" s="17" t="n">
        <v>110</v>
      </c>
      <c r="G20" s="18" t="str">
        <f aca="false">C20&amp;" - "&amp;E20&amp;" ("&amp;INDEX(Listas!$D$5:$D$16,D20)&amp;")"</f>
        <v>Atletismo - Usaquen (Mar)</v>
      </c>
      <c r="H20" s="12" t="str">
        <f aca="false">IF(AND(B20=Consulta!$B$5,E20=Consulta!$B$6),COUNTIFS($B$5:B20,Consulta!$B$5,$E$5:E20,Consulta!$B$6),"")</f>
        <v/>
      </c>
      <c r="J20" s="16" t="n">
        <v>29</v>
      </c>
      <c r="K20" s="16" t="n">
        <v>2026</v>
      </c>
    </row>
    <row r="21" customFormat="false" ht="15" hidden="false" customHeight="false" outlineLevel="0" collapsed="false">
      <c r="A21" s="7" t="n">
        <v>17</v>
      </c>
      <c r="B21" s="8" t="s">
        <v>30</v>
      </c>
      <c r="C21" s="8" t="s">
        <v>31</v>
      </c>
      <c r="D21" s="9" t="n">
        <v>6</v>
      </c>
      <c r="E21" s="8" t="s">
        <v>25</v>
      </c>
      <c r="F21" s="10" t="n">
        <v>130</v>
      </c>
      <c r="G21" s="11" t="str">
        <f aca="false">C21&amp;" - "&amp;E21&amp;" ("&amp;INDEX(Listas!$D$5:$D$16,D21)&amp;")"</f>
        <v>Atletismo - Teusaquillo (Jun)</v>
      </c>
      <c r="H21" s="12" t="str">
        <f aca="false">IF(AND(B21=Consulta!$B$5,E21=Consulta!$B$6),COUNTIFS($B$5:B21,Consulta!$B$5,$E$5:E21,Consulta!$B$6),"")</f>
        <v/>
      </c>
      <c r="J21" s="9" t="n">
        <v>13</v>
      </c>
      <c r="K21" s="9" t="n">
        <v>2026</v>
      </c>
    </row>
    <row r="22" customFormat="false" ht="15" hidden="false" customHeight="false" outlineLevel="0" collapsed="false">
      <c r="A22" s="14" t="n">
        <v>18</v>
      </c>
      <c r="B22" s="15" t="s">
        <v>30</v>
      </c>
      <c r="C22" s="15" t="s">
        <v>32</v>
      </c>
      <c r="D22" s="16" t="n">
        <v>8</v>
      </c>
      <c r="E22" s="15" t="s">
        <v>20</v>
      </c>
      <c r="F22" s="17" t="n">
        <v>200</v>
      </c>
      <c r="G22" s="18" t="str">
        <f aca="false">C22&amp;" - "&amp;E22&amp;" ("&amp;INDEX(Listas!$D$5:$D$16,D22)&amp;")"</f>
        <v>Ciclismo - Engativa (Ago)</v>
      </c>
      <c r="H22" s="12" t="str">
        <f aca="false">IF(AND(B22=Consulta!$B$5,E22=Consulta!$B$6),COUNTIFS($B$5:B22,Consulta!$B$5,$E$5:E22,Consulta!$B$6),"")</f>
        <v/>
      </c>
      <c r="J22" s="16" t="n">
        <v>30</v>
      </c>
      <c r="K22" s="16" t="n">
        <v>2026</v>
      </c>
    </row>
    <row r="23" customFormat="false" ht="15" hidden="false" customHeight="false" outlineLevel="0" collapsed="false">
      <c r="A23" s="7" t="n">
        <v>19</v>
      </c>
      <c r="B23" s="8" t="s">
        <v>30</v>
      </c>
      <c r="C23" s="8" t="s">
        <v>32</v>
      </c>
      <c r="D23" s="9" t="n">
        <v>11</v>
      </c>
      <c r="E23" s="8" t="s">
        <v>15</v>
      </c>
      <c r="F23" s="10" t="n">
        <v>220</v>
      </c>
      <c r="G23" s="11" t="str">
        <f aca="false">C23&amp;" - "&amp;E23&amp;" ("&amp;INDEX(Listas!$D$5:$D$16,D23)&amp;")"</f>
        <v>Ciclismo - Suba (Nov)</v>
      </c>
      <c r="H23" s="12" t="str">
        <f aca="false">IF(AND(B23=Consulta!$B$5,E23=Consulta!$B$6),COUNTIFS($B$5:B23,Consulta!$B$5,$E$5:E23,Consulta!$B$6),"")</f>
        <v/>
      </c>
      <c r="J23" s="9" t="n">
        <v>21</v>
      </c>
      <c r="K23" s="9" t="n">
        <v>2026</v>
      </c>
    </row>
    <row r="24" customFormat="false" ht="15" hidden="false" customHeight="false" outlineLevel="0" collapsed="false">
      <c r="A24" s="14" t="n">
        <v>20</v>
      </c>
      <c r="B24" s="15" t="s">
        <v>33</v>
      </c>
      <c r="C24" s="15" t="s">
        <v>34</v>
      </c>
      <c r="D24" s="16" t="n">
        <v>9</v>
      </c>
      <c r="E24" s="15" t="s">
        <v>23</v>
      </c>
      <c r="F24" s="17" t="n">
        <v>40</v>
      </c>
      <c r="G24" s="18" t="str">
        <f aca="false">C24&amp;" - "&amp;E24&amp;" ("&amp;INDEX(Listas!$D$5:$D$16,D24)&amp;")"</f>
        <v>Ajedrez - Chapinero (Sep)</v>
      </c>
      <c r="H24" s="12" t="str">
        <f aca="false">IF(AND(B24=Consulta!$B$5,E24=Consulta!$B$6),COUNTIFS($B$5:B24,Consulta!$B$5,$E$5:E24,Consulta!$B$6),"")</f>
        <v/>
      </c>
      <c r="J24" s="16" t="n">
        <v>19</v>
      </c>
      <c r="K24" s="16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9" min="7" style="0" width="3"/>
  </cols>
  <sheetData>
    <row r="1" customFormat="false" ht="30" hidden="false" customHeight="true" outlineLevel="0" collapsed="false">
      <c r="A1" s="1" t="s">
        <v>35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9" t="s">
        <v>37</v>
      </c>
    </row>
    <row r="4" customFormat="false" ht="15" hidden="false" customHeight="false" outlineLevel="0" collapsed="false">
      <c r="A4" s="20" t="s">
        <v>38</v>
      </c>
      <c r="B4" s="21" t="n">
        <f aca="false">COUNTA(Datos!$B$5:$B$24)</f>
        <v>20</v>
      </c>
    </row>
    <row r="5" customFormat="false" ht="15" hidden="false" customHeight="false" outlineLevel="0" collapsed="false">
      <c r="A5" s="20" t="s">
        <v>39</v>
      </c>
      <c r="B5" s="22" t="n">
        <f aca="false">SUM(Datos!$F$5:$F$24)</f>
        <v>2145</v>
      </c>
    </row>
    <row r="6" customFormat="false" ht="15" hidden="false" customHeight="false" outlineLevel="0" collapsed="false">
      <c r="A6" s="20" t="s">
        <v>40</v>
      </c>
      <c r="B6" s="23" t="n">
        <f aca="false">IFERROR(B5/B4,0)</f>
        <v>107.25</v>
      </c>
    </row>
    <row r="9" customFormat="false" ht="15" hidden="false" customHeight="false" outlineLevel="0" collapsed="false">
      <c r="A9" s="19" t="s">
        <v>41</v>
      </c>
    </row>
    <row r="10" customFormat="false" ht="26.85" hidden="false" customHeight="false" outlineLevel="0" collapsed="false">
      <c r="A10" s="4" t="s">
        <v>3</v>
      </c>
      <c r="B10" s="4" t="s">
        <v>42</v>
      </c>
      <c r="C10" s="4" t="s">
        <v>43</v>
      </c>
      <c r="D10" s="4" t="s">
        <v>7</v>
      </c>
      <c r="E10" s="4" t="s">
        <v>44</v>
      </c>
      <c r="F10" s="4" t="s">
        <v>45</v>
      </c>
    </row>
    <row r="11" customFormat="false" ht="15" hidden="false" customHeight="false" outlineLevel="0" collapsed="false">
      <c r="A11" s="24" t="str">
        <f aca="false">Listas!A5</f>
        <v>En equipo</v>
      </c>
      <c r="B11" s="25" t="n">
        <f aca="false">COUNTIF(Datos!$B$5:$B$24,A11)</f>
        <v>13</v>
      </c>
      <c r="C11" s="26" t="n">
        <f aca="false">IFERROR(B11/$B$4,0)</f>
        <v>0.65</v>
      </c>
      <c r="D11" s="27" t="n">
        <f aca="false">SUMIF(Datos!$B$5:$B$24,A11,Datos!$F$5:$F$24)</f>
        <v>1350</v>
      </c>
      <c r="E11" s="26" t="n">
        <f aca="false">IFERROR(D11/$B$5,0)</f>
        <v>0.629370629370629</v>
      </c>
      <c r="F11" s="28" t="n">
        <f aca="false">IFERROR(D11/B11,0)</f>
        <v>103.846153846154</v>
      </c>
    </row>
    <row r="12" customFormat="false" ht="15" hidden="false" customHeight="false" outlineLevel="0" collapsed="false">
      <c r="A12" s="24" t="str">
        <f aca="false">Listas!A6</f>
        <v>Acuaticos</v>
      </c>
      <c r="B12" s="25" t="n">
        <f aca="false">COUNTIF(Datos!$B$5:$B$24,A12)</f>
        <v>2</v>
      </c>
      <c r="C12" s="26" t="n">
        <f aca="false">IFERROR(B12/$B$4,0)</f>
        <v>0.1</v>
      </c>
      <c r="D12" s="27" t="n">
        <f aca="false">SUMIF(Datos!$B$5:$B$24,A12,Datos!$F$5:$F$24)</f>
        <v>95</v>
      </c>
      <c r="E12" s="26" t="n">
        <f aca="false">IFERROR(D12/$B$5,0)</f>
        <v>0.0442890442890443</v>
      </c>
      <c r="F12" s="28" t="n">
        <f aca="false">IFERROR(D12/B12,0)</f>
        <v>47.5</v>
      </c>
    </row>
    <row r="13" customFormat="false" ht="15" hidden="false" customHeight="false" outlineLevel="0" collapsed="false">
      <c r="A13" s="24" t="str">
        <f aca="false">Listas!A7</f>
        <v>Individuales</v>
      </c>
      <c r="B13" s="25" t="n">
        <f aca="false">COUNTIF(Datos!$B$5:$B$24,A13)</f>
        <v>4</v>
      </c>
      <c r="C13" s="26" t="n">
        <f aca="false">IFERROR(B13/$B$4,0)</f>
        <v>0.2</v>
      </c>
      <c r="D13" s="27" t="n">
        <f aca="false">SUMIF(Datos!$B$5:$B$24,A13,Datos!$F$5:$F$24)</f>
        <v>660</v>
      </c>
      <c r="E13" s="26" t="n">
        <f aca="false">IFERROR(D13/$B$5,0)</f>
        <v>0.307692307692308</v>
      </c>
      <c r="F13" s="28" t="n">
        <f aca="false">IFERROR(D13/B13,0)</f>
        <v>165</v>
      </c>
    </row>
    <row r="14" customFormat="false" ht="15" hidden="false" customHeight="false" outlineLevel="0" collapsed="false">
      <c r="A14" s="24" t="str">
        <f aca="false">Listas!A8</f>
        <v>Otras</v>
      </c>
      <c r="B14" s="25" t="n">
        <f aca="false">COUNTIF(Datos!$B$5:$B$24,A14)</f>
        <v>1</v>
      </c>
      <c r="C14" s="26" t="n">
        <f aca="false">IFERROR(B14/$B$4,0)</f>
        <v>0.05</v>
      </c>
      <c r="D14" s="27" t="n">
        <f aca="false">SUMIF(Datos!$B$5:$B$24,A14,Datos!$F$5:$F$24)</f>
        <v>40</v>
      </c>
      <c r="E14" s="26" t="n">
        <f aca="false">IFERROR(D14/$B$5,0)</f>
        <v>0.0186480186480186</v>
      </c>
      <c r="F14" s="28" t="n">
        <f aca="false">IFERROR(D14/B14,0)</f>
        <v>40</v>
      </c>
    </row>
    <row r="15" customFormat="false" ht="15" hidden="false" customHeight="false" outlineLevel="0" collapsed="false">
      <c r="A15" s="29" t="s">
        <v>46</v>
      </c>
      <c r="B15" s="30" t="n">
        <f aca="false">SUM(B11:B14)</f>
        <v>20</v>
      </c>
      <c r="C15" s="31" t="n">
        <f aca="false">SUM(C11:C14)</f>
        <v>1</v>
      </c>
      <c r="D15" s="32" t="n">
        <f aca="false">SUM(D11:D14)</f>
        <v>2145</v>
      </c>
      <c r="E15" s="31" t="n">
        <f aca="false">SUM(E11:E14)</f>
        <v>1</v>
      </c>
      <c r="F15" s="33" t="n">
        <f aca="false">IFERROR(D15/B15,0)</f>
        <v>107.25</v>
      </c>
    </row>
    <row r="16" customFormat="false" ht="31.5" hidden="false" customHeight="true" outlineLevel="0" collapsed="false">
      <c r="A16" s="34" t="s">
        <v>47</v>
      </c>
      <c r="B16" s="35" t="str">
        <f aca="false">"La categoria con mas eventos es "&amp;INDEX(A11:A14,MATCH(MAX(B11:B14),B11:B14,0))&amp;" ("&amp;TEXT(MAX(C11:C14),"0%")&amp;" de los eventos) y reune "&amp;TEXT(INDEX(E11:E14,MATCH(MAX(B11:B14),B11:B14,0)),"0%")&amp;" de los asistentes."</f>
        <v>La categoria con mas eventos es En equipo (65% de los eventos) y reune 63% de los asistentes.</v>
      </c>
      <c r="C16" s="35"/>
      <c r="D16" s="35"/>
      <c r="E16" s="35"/>
      <c r="F16" s="35"/>
    </row>
    <row r="19" customFormat="false" ht="15" hidden="false" customHeight="false" outlineLevel="0" collapsed="false">
      <c r="A19" s="19" t="s">
        <v>48</v>
      </c>
    </row>
    <row r="20" customFormat="false" ht="26.85" hidden="false" customHeight="false" outlineLevel="0" collapsed="false">
      <c r="A20" s="4" t="s">
        <v>4</v>
      </c>
      <c r="B20" s="4" t="s">
        <v>42</v>
      </c>
      <c r="C20" s="4" t="s">
        <v>7</v>
      </c>
      <c r="D20" s="4" t="s">
        <v>45</v>
      </c>
    </row>
    <row r="21" customFormat="false" ht="15" hidden="false" customHeight="false" outlineLevel="0" collapsed="false">
      <c r="A21" s="36" t="s">
        <v>12</v>
      </c>
      <c r="B21" s="25" t="n">
        <f aca="false">COUNTIFS(Datos!$B$5:$B$24,"En equipo",Datos!$C$5:$C$24,A21)</f>
        <v>6</v>
      </c>
      <c r="C21" s="27" t="n">
        <f aca="false">SUMIFS(Datos!$F$5:$F$24,Datos!$B$5:$B$24,"En equipo",Datos!$C$5:$C$24,A21)</f>
        <v>840</v>
      </c>
      <c r="D21" s="28" t="n">
        <f aca="false">IFERROR(C21/B21,0)</f>
        <v>140</v>
      </c>
    </row>
    <row r="22" customFormat="false" ht="15" hidden="false" customHeight="false" outlineLevel="0" collapsed="false">
      <c r="A22" s="36" t="s">
        <v>22</v>
      </c>
      <c r="B22" s="25" t="n">
        <f aca="false">COUNTIFS(Datos!$B$5:$B$24,"En equipo",Datos!$C$5:$C$24,A22)</f>
        <v>4</v>
      </c>
      <c r="C22" s="27" t="n">
        <f aca="false">SUMIFS(Datos!$F$5:$F$24,Datos!$B$5:$B$24,"En equipo",Datos!$C$5:$C$24,A22)</f>
        <v>330</v>
      </c>
      <c r="D22" s="28" t="n">
        <f aca="false">IFERROR(C22/B22,0)</f>
        <v>82.5</v>
      </c>
    </row>
    <row r="23" customFormat="false" ht="15" hidden="false" customHeight="false" outlineLevel="0" collapsed="false">
      <c r="A23" s="36" t="s">
        <v>27</v>
      </c>
      <c r="B23" s="25" t="n">
        <f aca="false">COUNTIFS(Datos!$B$5:$B$24,"En equipo",Datos!$C$5:$C$24,A23)</f>
        <v>3</v>
      </c>
      <c r="C23" s="27" t="n">
        <f aca="false">SUMIFS(Datos!$F$5:$F$24,Datos!$B$5:$B$24,"En equipo",Datos!$C$5:$C$24,A23)</f>
        <v>180</v>
      </c>
      <c r="D23" s="28" t="n">
        <f aca="false">IFERROR(C23/B23,0)</f>
        <v>60</v>
      </c>
    </row>
    <row r="24" customFormat="false" ht="31.5" hidden="false" customHeight="true" outlineLevel="0" collapsed="false">
      <c r="A24" s="34" t="s">
        <v>47</v>
      </c>
      <c r="B24" s="35" t="str">
        <f aca="false">"Dentro de los deportes en equipo, la disciplina con mas eventos es "&amp;INDEX(A21:A23,MATCH(MAX(B21:B23),B21:B23,0))&amp;" con "&amp;MAX(B21:B23)&amp;" eventos."</f>
        <v>Dentro de los deportes en equipo, la disciplina con mas eventos es Futbol con 6 eventos.</v>
      </c>
      <c r="C24" s="35"/>
      <c r="D24" s="35"/>
      <c r="E24" s="35"/>
      <c r="F24" s="35"/>
    </row>
    <row r="27" customFormat="false" ht="15" hidden="false" customHeight="false" outlineLevel="0" collapsed="false">
      <c r="A27" s="19" t="s">
        <v>49</v>
      </c>
    </row>
    <row r="28" customFormat="false" ht="26.85" hidden="false" customHeight="false" outlineLevel="0" collapsed="false">
      <c r="A28" s="4" t="s">
        <v>50</v>
      </c>
      <c r="B28" s="4" t="s">
        <v>51</v>
      </c>
      <c r="C28" s="4" t="s">
        <v>7</v>
      </c>
    </row>
    <row r="29" customFormat="false" ht="15" hidden="false" customHeight="false" outlineLevel="0" collapsed="false">
      <c r="A29" s="24" t="str">
        <f aca="false">Listas!D5</f>
        <v>Ene</v>
      </c>
      <c r="B29" s="25" t="n">
        <f aca="false">COUNTIFS(Datos!$B$5:$B$24,"En equipo",Datos!$D$5:$D$24,1)</f>
        <v>0</v>
      </c>
      <c r="C29" s="27" t="n">
        <f aca="false">SUMIFS(Datos!$F$5:$F$24,Datos!$B$5:$B$24,"En equipo",Datos!$D$5:$D$24,1)</f>
        <v>0</v>
      </c>
    </row>
    <row r="30" customFormat="false" ht="15" hidden="false" customHeight="false" outlineLevel="0" collapsed="false">
      <c r="A30" s="24" t="str">
        <f aca="false">Listas!D6</f>
        <v>Feb</v>
      </c>
      <c r="B30" s="25" t="n">
        <f aca="false">COUNTIFS(Datos!$B$5:$B$24,"En equipo",Datos!$D$5:$D$24,2)</f>
        <v>1</v>
      </c>
      <c r="C30" s="27" t="n">
        <f aca="false">SUMIFS(Datos!$F$5:$F$24,Datos!$B$5:$B$24,"En equipo",Datos!$D$5:$D$24,2)</f>
        <v>120</v>
      </c>
    </row>
    <row r="31" customFormat="false" ht="15" hidden="false" customHeight="false" outlineLevel="0" collapsed="false">
      <c r="A31" s="24" t="str">
        <f aca="false">Listas!D7</f>
        <v>Mar</v>
      </c>
      <c r="B31" s="25" t="n">
        <f aca="false">COUNTIFS(Datos!$B$5:$B$24,"En equipo",Datos!$D$5:$D$24,3)</f>
        <v>2</v>
      </c>
      <c r="C31" s="27" t="n">
        <f aca="false">SUMIFS(Datos!$F$5:$F$24,Datos!$B$5:$B$24,"En equipo",Datos!$D$5:$D$24,3)</f>
        <v>220</v>
      </c>
    </row>
    <row r="32" customFormat="false" ht="15" hidden="false" customHeight="false" outlineLevel="0" collapsed="false">
      <c r="A32" s="24" t="str">
        <f aca="false">Listas!D8</f>
        <v>Abr</v>
      </c>
      <c r="B32" s="25" t="n">
        <f aca="false">COUNTIFS(Datos!$B$5:$B$24,"En equipo",Datos!$D$5:$D$24,4)</f>
        <v>2</v>
      </c>
      <c r="C32" s="27" t="n">
        <f aca="false">SUMIFS(Datos!$F$5:$F$24,Datos!$B$5:$B$24,"En equipo",Datos!$D$5:$D$24,4)</f>
        <v>145</v>
      </c>
    </row>
    <row r="33" customFormat="false" ht="15" hidden="false" customHeight="false" outlineLevel="0" collapsed="false">
      <c r="A33" s="24" t="str">
        <f aca="false">Listas!D9</f>
        <v>May</v>
      </c>
      <c r="B33" s="25" t="n">
        <f aca="false">COUNTIFS(Datos!$B$5:$B$24,"En equipo",Datos!$D$5:$D$24,5)</f>
        <v>1</v>
      </c>
      <c r="C33" s="27" t="n">
        <f aca="false">SUMIFS(Datos!$F$5:$F$24,Datos!$B$5:$B$24,"En equipo",Datos!$D$5:$D$24,5)</f>
        <v>90</v>
      </c>
    </row>
    <row r="34" customFormat="false" ht="15" hidden="false" customHeight="false" outlineLevel="0" collapsed="false">
      <c r="A34" s="24" t="str">
        <f aca="false">Listas!D10</f>
        <v>Jun</v>
      </c>
      <c r="B34" s="25" t="n">
        <f aca="false">COUNTIFS(Datos!$B$5:$B$24,"En equipo",Datos!$D$5:$D$24,6)</f>
        <v>1</v>
      </c>
      <c r="C34" s="27" t="n">
        <f aca="false">SUMIFS(Datos!$F$5:$F$24,Datos!$B$5:$B$24,"En equipo",Datos!$D$5:$D$24,6)</f>
        <v>180</v>
      </c>
    </row>
    <row r="35" customFormat="false" ht="15" hidden="false" customHeight="false" outlineLevel="0" collapsed="false">
      <c r="A35" s="24" t="str">
        <f aca="false">Listas!D11</f>
        <v>Jul</v>
      </c>
      <c r="B35" s="25" t="n">
        <f aca="false">COUNTIFS(Datos!$B$5:$B$24,"En equipo",Datos!$D$5:$D$24,7)</f>
        <v>1</v>
      </c>
      <c r="C35" s="27" t="n">
        <f aca="false">SUMIFS(Datos!$F$5:$F$24,Datos!$B$5:$B$24,"En equipo",Datos!$D$5:$D$24,7)</f>
        <v>95</v>
      </c>
    </row>
    <row r="36" customFormat="false" ht="15" hidden="false" customHeight="false" outlineLevel="0" collapsed="false">
      <c r="A36" s="24" t="str">
        <f aca="false">Listas!D12</f>
        <v>Ago</v>
      </c>
      <c r="B36" s="25" t="n">
        <f aca="false">COUNTIFS(Datos!$B$5:$B$24,"En equipo",Datos!$D$5:$D$24,8)</f>
        <v>1</v>
      </c>
      <c r="C36" s="27" t="n">
        <f aca="false">SUMIFS(Datos!$F$5:$F$24,Datos!$B$5:$B$24,"En equipo",Datos!$D$5:$D$24,8)</f>
        <v>55</v>
      </c>
    </row>
    <row r="37" customFormat="false" ht="15" hidden="false" customHeight="false" outlineLevel="0" collapsed="false">
      <c r="A37" s="24" t="str">
        <f aca="false">Listas!D13</f>
        <v>Sep</v>
      </c>
      <c r="B37" s="25" t="n">
        <f aca="false">COUNTIFS(Datos!$B$5:$B$24,"En equipo",Datos!$D$5:$D$24,9)</f>
        <v>1</v>
      </c>
      <c r="C37" s="27" t="n">
        <f aca="false">SUMIFS(Datos!$F$5:$F$24,Datos!$B$5:$B$24,"En equipo",Datos!$D$5:$D$24,9)</f>
        <v>140</v>
      </c>
    </row>
    <row r="38" customFormat="false" ht="15" hidden="false" customHeight="false" outlineLevel="0" collapsed="false">
      <c r="A38" s="24" t="str">
        <f aca="false">Listas!D14</f>
        <v>Oct</v>
      </c>
      <c r="B38" s="25" t="n">
        <f aca="false">COUNTIFS(Datos!$B$5:$B$24,"En equipo",Datos!$D$5:$D$24,10)</f>
        <v>2</v>
      </c>
      <c r="C38" s="27" t="n">
        <f aca="false">SUMIFS(Datos!$F$5:$F$24,Datos!$B$5:$B$24,"En equipo",Datos!$D$5:$D$24,10)</f>
        <v>240</v>
      </c>
    </row>
    <row r="39" customFormat="false" ht="15" hidden="false" customHeight="false" outlineLevel="0" collapsed="false">
      <c r="A39" s="24" t="str">
        <f aca="false">Listas!D15</f>
        <v>Nov</v>
      </c>
      <c r="B39" s="25" t="n">
        <f aca="false">COUNTIFS(Datos!$B$5:$B$24,"En equipo",Datos!$D$5:$D$24,11)</f>
        <v>1</v>
      </c>
      <c r="C39" s="27" t="n">
        <f aca="false">SUMIFS(Datos!$F$5:$F$24,Datos!$B$5:$B$24,"En equipo",Datos!$D$5:$D$24,11)</f>
        <v>65</v>
      </c>
    </row>
    <row r="40" customFormat="false" ht="15" hidden="false" customHeight="false" outlineLevel="0" collapsed="false">
      <c r="A40" s="24" t="str">
        <f aca="false">Listas!D16</f>
        <v>Dic</v>
      </c>
      <c r="B40" s="25" t="n">
        <f aca="false">COUNTIFS(Datos!$B$5:$B$24,"En equipo",Datos!$D$5:$D$24,12)</f>
        <v>0</v>
      </c>
      <c r="C40" s="27" t="n">
        <f aca="false">SUMIFS(Datos!$F$5:$F$24,Datos!$B$5:$B$24,"En equipo",Datos!$D$5:$D$24,12)</f>
        <v>0</v>
      </c>
    </row>
    <row r="41" customFormat="false" ht="15" hidden="false" customHeight="false" outlineLevel="0" collapsed="false">
      <c r="A41" s="34" t="s">
        <v>52</v>
      </c>
      <c r="B41" s="37" t="str">
        <f aca="false">COUNTIF(B29:B40,"&gt;0")&amp;" de 12"</f>
        <v>10 de 12</v>
      </c>
    </row>
    <row r="42" customFormat="false" ht="15" hidden="false" customHeight="false" outlineLevel="0" collapsed="false">
      <c r="A42" s="34" t="s">
        <v>53</v>
      </c>
      <c r="B42" s="35" t="str">
        <f aca="false">"Maximo de "&amp;MAX(B29:B40)&amp;" eventos en un mes ("&amp;COUNTIF(B29:B40,MAX(B29:B40))&amp;" meses empatan)"</f>
        <v>Maximo de 2 eventos en un mes (3 meses empatan)</v>
      </c>
      <c r="C42" s="35"/>
      <c r="D42" s="35"/>
      <c r="E42" s="35"/>
      <c r="F42" s="35"/>
    </row>
  </sheetData>
  <mergeCells count="3">
    <mergeCell ref="B16:F16"/>
    <mergeCell ref="B24:F24"/>
    <mergeCell ref="B42:F42"/>
  </mergeCells>
  <conditionalFormatting sqref="B29:B40">
    <cfRule type="cellIs" priority="2" operator="equal" aboveAverage="0" equalAverage="0" bottom="0" percent="0" rank="0" text="" dxfId="0">
      <formula>MAX($B$29:$B$40)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8" min="7" style="0" width="3"/>
  </cols>
  <sheetData>
    <row r="1" customFormat="false" ht="30" hidden="false" customHeight="true" outlineLevel="0" collapsed="false">
      <c r="A1" s="1" t="s">
        <v>54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55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9" t="s">
        <v>56</v>
      </c>
    </row>
    <row r="5" customFormat="false" ht="17.35" hidden="false" customHeight="false" outlineLevel="0" collapsed="false">
      <c r="A5" s="37" t="s">
        <v>57</v>
      </c>
      <c r="B5" s="38" t="s">
        <v>11</v>
      </c>
      <c r="E5" s="37" t="s">
        <v>58</v>
      </c>
      <c r="F5" s="39" t="n">
        <f aca="false">COUNTIFS(Datos!$B$5:$B$24,B5,Datos!$E$5:$E$24,B6)</f>
        <v>3</v>
      </c>
    </row>
    <row r="6" customFormat="false" ht="15" hidden="false" customHeight="false" outlineLevel="0" collapsed="false">
      <c r="A6" s="37" t="s">
        <v>59</v>
      </c>
      <c r="B6" s="38" t="s">
        <v>13</v>
      </c>
      <c r="E6" s="40" t="s">
        <v>60</v>
      </c>
      <c r="F6" s="40" t="n">
        <f aca="false">COUNTIF(Datos!$B$5:$B$24,B5)</f>
        <v>13</v>
      </c>
    </row>
    <row r="7" customFormat="false" ht="15" hidden="false" customHeight="false" outlineLevel="0" collapsed="false">
      <c r="E7" s="40" t="s">
        <v>61</v>
      </c>
      <c r="F7" s="41" t="n">
        <f aca="false">IFERROR(1-F5/COUNTA(Datos!$B$5:$B$24),0)</f>
        <v>0.85</v>
      </c>
    </row>
    <row r="9" customFormat="false" ht="15" hidden="false" customHeight="false" outlineLevel="0" collapsed="false">
      <c r="A9" s="19" t="s">
        <v>62</v>
      </c>
    </row>
    <row r="10" customFormat="false" ht="15" hidden="false" customHeight="false" outlineLevel="0" collapsed="false">
      <c r="A10" s="4" t="s">
        <v>63</v>
      </c>
      <c r="B10" s="4" t="s">
        <v>4</v>
      </c>
      <c r="C10" s="4" t="s">
        <v>50</v>
      </c>
      <c r="D10" s="4" t="s">
        <v>7</v>
      </c>
    </row>
    <row r="11" customFormat="false" ht="15" hidden="false" customHeight="false" outlineLevel="0" collapsed="false">
      <c r="A11" s="42" t="n">
        <v>1</v>
      </c>
      <c r="B11" s="20" t="str">
        <f aca="false">IFERROR(INDEX(Datos!$C$5:$C$24,MATCH($A11,Datos!$H$5:$H$24,0)),"")</f>
        <v>Futbol</v>
      </c>
      <c r="C11" s="42" t="str">
        <f aca="false">IFERROR(INDEX(Listas!$D$5:$D$16,INDEX(Datos!$D$5:$D$24,MATCH($A11,Datos!$H$5:$H$24,0))),"")</f>
        <v>Feb</v>
      </c>
      <c r="D11" s="27" t="n">
        <f aca="false">IFERROR(INDEX(Datos!$F$5:$F$24,MATCH($A11,Datos!$H$5:$H$24,0)),"")</f>
        <v>120</v>
      </c>
    </row>
    <row r="12" customFormat="false" ht="15" hidden="false" customHeight="false" outlineLevel="0" collapsed="false">
      <c r="A12" s="43" t="n">
        <v>2</v>
      </c>
      <c r="B12" s="44" t="str">
        <f aca="false">IFERROR(INDEX(Datos!$C$5:$C$24,MATCH($A12,Datos!$H$5:$H$24,0)),"")</f>
        <v>Futbol</v>
      </c>
      <c r="C12" s="43" t="str">
        <f aca="false">IFERROR(INDEX(Listas!$D$5:$D$16,INDEX(Datos!$D$5:$D$24,MATCH($A12,Datos!$H$5:$H$24,0))),"")</f>
        <v>Jun</v>
      </c>
      <c r="D12" s="45" t="n">
        <f aca="false">IFERROR(INDEX(Datos!$F$5:$F$24,MATCH($A12,Datos!$H$5:$H$24,0)),"")</f>
        <v>180</v>
      </c>
    </row>
    <row r="13" customFormat="false" ht="15" hidden="false" customHeight="false" outlineLevel="0" collapsed="false">
      <c r="A13" s="42" t="n">
        <v>3</v>
      </c>
      <c r="B13" s="20" t="str">
        <f aca="false">IFERROR(INDEX(Datos!$C$5:$C$24,MATCH($A13,Datos!$H$5:$H$24,0)),"")</f>
        <v>Baloncesto</v>
      </c>
      <c r="C13" s="42" t="str">
        <f aca="false">IFERROR(INDEX(Listas!$D$5:$D$16,INDEX(Datos!$D$5:$D$24,MATCH($A13,Datos!$H$5:$H$24,0))),"")</f>
        <v>Jul</v>
      </c>
      <c r="D13" s="27" t="n">
        <f aca="false">IFERROR(INDEX(Datos!$F$5:$F$24,MATCH($A13,Datos!$H$5:$H$24,0)),"")</f>
        <v>95</v>
      </c>
    </row>
    <row r="14" customFormat="false" ht="15" hidden="false" customHeight="false" outlineLevel="0" collapsed="false">
      <c r="A14" s="43" t="n">
        <v>4</v>
      </c>
      <c r="B14" s="44" t="str">
        <f aca="false">IFERROR(INDEX(Datos!$C$5:$C$24,MATCH($A14,Datos!$H$5:$H$24,0)),"")</f>
        <v/>
      </c>
      <c r="C14" s="43" t="str">
        <f aca="false">IFERROR(INDEX(Listas!$D$5:$D$16,INDEX(Datos!$D$5:$D$24,MATCH($A14,Datos!$H$5:$H$24,0))),"")</f>
        <v/>
      </c>
      <c r="D14" s="45" t="str">
        <f aca="false">IFERROR(INDEX(Datos!$F$5:$F$24,MATCH($A14,Datos!$H$5:$H$24,0)),"")</f>
        <v/>
      </c>
    </row>
    <row r="15" customFormat="false" ht="15" hidden="false" customHeight="false" outlineLevel="0" collapsed="false">
      <c r="A15" s="42" t="n">
        <v>5</v>
      </c>
      <c r="B15" s="20" t="str">
        <f aca="false">IFERROR(INDEX(Datos!$C$5:$C$24,MATCH($A15,Datos!$H$5:$H$24,0)),"")</f>
        <v/>
      </c>
      <c r="C15" s="42" t="str">
        <f aca="false">IFERROR(INDEX(Listas!$D$5:$D$16,INDEX(Datos!$D$5:$D$24,MATCH($A15,Datos!$H$5:$H$24,0))),"")</f>
        <v/>
      </c>
      <c r="D15" s="27" t="str">
        <f aca="false">IFERROR(INDEX(Datos!$F$5:$F$24,MATCH($A15,Datos!$H$5:$H$24,0)),"")</f>
        <v/>
      </c>
    </row>
    <row r="16" customFormat="false" ht="15" hidden="false" customHeight="false" outlineLevel="0" collapsed="false">
      <c r="A16" s="43" t="n">
        <v>6</v>
      </c>
      <c r="B16" s="44" t="str">
        <f aca="false">IFERROR(INDEX(Datos!$C$5:$C$24,MATCH($A16,Datos!$H$5:$H$24,0)),"")</f>
        <v/>
      </c>
      <c r="C16" s="43" t="str">
        <f aca="false">IFERROR(INDEX(Listas!$D$5:$D$16,INDEX(Datos!$D$5:$D$24,MATCH($A16,Datos!$H$5:$H$24,0))),"")</f>
        <v/>
      </c>
      <c r="D16" s="45" t="str">
        <f aca="false">IFERROR(INDEX(Datos!$F$5:$F$24,MATCH($A16,Datos!$H$5:$H$24,0)),"")</f>
        <v/>
      </c>
    </row>
    <row r="17" customFormat="false" ht="15" hidden="false" customHeight="false" outlineLevel="0" collapsed="false">
      <c r="A17" s="42" t="n">
        <v>7</v>
      </c>
      <c r="B17" s="20" t="str">
        <f aca="false">IFERROR(INDEX(Datos!$C$5:$C$24,MATCH($A17,Datos!$H$5:$H$24,0)),"")</f>
        <v/>
      </c>
      <c r="C17" s="42" t="str">
        <f aca="false">IFERROR(INDEX(Listas!$D$5:$D$16,INDEX(Datos!$D$5:$D$24,MATCH($A17,Datos!$H$5:$H$24,0))),"")</f>
        <v/>
      </c>
      <c r="D17" s="27" t="str">
        <f aca="false">IFERROR(INDEX(Datos!$F$5:$F$24,MATCH($A17,Datos!$H$5:$H$24,0)),"")</f>
        <v/>
      </c>
    </row>
    <row r="18" customFormat="false" ht="15" hidden="false" customHeight="false" outlineLevel="0" collapsed="false">
      <c r="A18" s="43" t="n">
        <v>8</v>
      </c>
      <c r="B18" s="44" t="str">
        <f aca="false">IFERROR(INDEX(Datos!$C$5:$C$24,MATCH($A18,Datos!$H$5:$H$24,0)),"")</f>
        <v/>
      </c>
      <c r="C18" s="43" t="str">
        <f aca="false">IFERROR(INDEX(Listas!$D$5:$D$16,INDEX(Datos!$D$5:$D$24,MATCH($A18,Datos!$H$5:$H$24,0))),"")</f>
        <v/>
      </c>
      <c r="D18" s="45" t="str">
        <f aca="false">IFERROR(INDEX(Datos!$F$5:$F$24,MATCH($A18,Datos!$H$5:$H$24,0)),"")</f>
        <v/>
      </c>
    </row>
    <row r="19" customFormat="false" ht="15" hidden="false" customHeight="false" outlineLevel="0" collapsed="false">
      <c r="A19" s="42" t="n">
        <v>9</v>
      </c>
      <c r="B19" s="20" t="str">
        <f aca="false">IFERROR(INDEX(Datos!$C$5:$C$24,MATCH($A19,Datos!$H$5:$H$24,0)),"")</f>
        <v/>
      </c>
      <c r="C19" s="42" t="str">
        <f aca="false">IFERROR(INDEX(Listas!$D$5:$D$16,INDEX(Datos!$D$5:$D$24,MATCH($A19,Datos!$H$5:$H$24,0))),"")</f>
        <v/>
      </c>
      <c r="D19" s="27" t="str">
        <f aca="false">IFERROR(INDEX(Datos!$F$5:$F$24,MATCH($A19,Datos!$H$5:$H$24,0)),"")</f>
        <v/>
      </c>
    </row>
    <row r="20" customFormat="false" ht="15" hidden="false" customHeight="false" outlineLevel="0" collapsed="false">
      <c r="A20" s="43" t="n">
        <v>10</v>
      </c>
      <c r="B20" s="44" t="str">
        <f aca="false">IFERROR(INDEX(Datos!$C$5:$C$24,MATCH($A20,Datos!$H$5:$H$24,0)),"")</f>
        <v/>
      </c>
      <c r="C20" s="43" t="str">
        <f aca="false">IFERROR(INDEX(Listas!$D$5:$D$16,INDEX(Datos!$D$5:$D$24,MATCH($A20,Datos!$H$5:$H$24,0))),"")</f>
        <v/>
      </c>
      <c r="D20" s="45" t="str">
        <f aca="false">IFERROR(INDEX(Datos!$F$5:$F$24,MATCH($A20,Datos!$H$5:$H$24,0)),"")</f>
        <v/>
      </c>
    </row>
    <row r="21" customFormat="false" ht="15" hidden="false" customHeight="false" outlineLevel="0" collapsed="false">
      <c r="A21" s="46" t="s">
        <v>64</v>
      </c>
    </row>
    <row r="24" customFormat="false" ht="31.5" hidden="false" customHeight="true" outlineLevel="0" collapsed="false">
      <c r="A24" s="34" t="s">
        <v>65</v>
      </c>
      <c r="B24" s="35" t="str">
        <f aca="false">IF(F5=0,"No hay eventos con esos filtros. Prueba otra localidad o categoria.","Con solo dos filtros, la busqueda paso de "&amp;COUNTA(Datos!$B$5:$B$24)&amp;" eventos a "&amp;F5&amp;" opciones concretas en "&amp;B6&amp;" ("&amp;B5&amp;").")</f>
        <v>Con solo dos filtros, la busqueda paso de 20 eventos a 3 opciones concretas en Kennedy (En equipo).</v>
      </c>
      <c r="C24" s="35"/>
      <c r="D24" s="35"/>
      <c r="E24" s="35"/>
      <c r="F24" s="35"/>
    </row>
    <row r="26" customFormat="false" ht="15" hidden="false" customHeight="false" outlineLevel="0" collapsed="false">
      <c r="A26" s="46" t="s">
        <v>66</v>
      </c>
    </row>
  </sheetData>
  <mergeCells count="1">
    <mergeCell ref="B24:F24"/>
  </mergeCells>
  <dataValidations count="2">
    <dataValidation allowBlank="false" errorStyle="stop" operator="between" showDropDown="false" showErrorMessage="false" showInputMessage="false" sqref="B5" type="list">
      <formula1>Listas!$A$5:$A$8</formula1>
      <formula2>0</formula2>
    </dataValidation>
    <dataValidation allowBlank="false" errorStyle="stop" operator="between" showDropDown="false" showErrorMessage="false" showInputMessage="false" sqref="B6" type="list">
      <formula1>Listas!$B$5:$B$10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67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69</v>
      </c>
      <c r="B4" s="4" t="s">
        <v>70</v>
      </c>
      <c r="D4" s="4" t="s">
        <v>71</v>
      </c>
    </row>
    <row r="5" customFormat="false" ht="15" hidden="false" customHeight="false" outlineLevel="0" collapsed="false">
      <c r="A5" s="20" t="s">
        <v>11</v>
      </c>
      <c r="B5" s="20" t="s">
        <v>13</v>
      </c>
      <c r="D5" s="20" t="s">
        <v>72</v>
      </c>
    </row>
    <row r="6" customFormat="false" ht="15" hidden="false" customHeight="false" outlineLevel="0" collapsed="false">
      <c r="A6" s="20" t="s">
        <v>28</v>
      </c>
      <c r="B6" s="20" t="s">
        <v>15</v>
      </c>
      <c r="D6" s="20" t="s">
        <v>73</v>
      </c>
    </row>
    <row r="7" customFormat="false" ht="15" hidden="false" customHeight="false" outlineLevel="0" collapsed="false">
      <c r="A7" s="20" t="s">
        <v>30</v>
      </c>
      <c r="B7" s="20" t="s">
        <v>17</v>
      </c>
      <c r="D7" s="20" t="s">
        <v>74</v>
      </c>
    </row>
    <row r="8" customFormat="false" ht="15" hidden="false" customHeight="false" outlineLevel="0" collapsed="false">
      <c r="A8" s="20" t="s">
        <v>33</v>
      </c>
      <c r="B8" s="20" t="s">
        <v>20</v>
      </c>
      <c r="D8" s="20" t="s">
        <v>75</v>
      </c>
    </row>
    <row r="9" customFormat="false" ht="15" hidden="false" customHeight="false" outlineLevel="0" collapsed="false">
      <c r="A9" s="47"/>
      <c r="B9" s="20" t="s">
        <v>23</v>
      </c>
      <c r="D9" s="20" t="s">
        <v>76</v>
      </c>
    </row>
    <row r="10" customFormat="false" ht="15" hidden="false" customHeight="false" outlineLevel="0" collapsed="false">
      <c r="A10" s="47"/>
      <c r="B10" s="20" t="s">
        <v>25</v>
      </c>
      <c r="D10" s="20" t="s">
        <v>77</v>
      </c>
    </row>
    <row r="11" customFormat="false" ht="15" hidden="false" customHeight="false" outlineLevel="0" collapsed="false">
      <c r="A11" s="47"/>
      <c r="B11" s="47"/>
      <c r="D11" s="20" t="s">
        <v>78</v>
      </c>
    </row>
    <row r="12" customFormat="false" ht="15" hidden="false" customHeight="false" outlineLevel="0" collapsed="false">
      <c r="A12" s="47"/>
      <c r="B12" s="47"/>
      <c r="D12" s="20" t="s">
        <v>79</v>
      </c>
    </row>
    <row r="13" customFormat="false" ht="15" hidden="false" customHeight="false" outlineLevel="0" collapsed="false">
      <c r="A13" s="47"/>
      <c r="B13" s="47"/>
      <c r="D13" s="20" t="s">
        <v>80</v>
      </c>
    </row>
    <row r="14" customFormat="false" ht="15" hidden="false" customHeight="false" outlineLevel="0" collapsed="false">
      <c r="A14" s="47"/>
      <c r="B14" s="47"/>
      <c r="D14" s="20" t="s">
        <v>81</v>
      </c>
    </row>
    <row r="15" customFormat="false" ht="15" hidden="false" customHeight="false" outlineLevel="0" collapsed="false">
      <c r="A15" s="47"/>
      <c r="B15" s="47"/>
      <c r="D15" s="20" t="s">
        <v>82</v>
      </c>
    </row>
    <row r="16" customFormat="false" ht="15" hidden="false" customHeight="false" outlineLevel="0" collapsed="false">
      <c r="A16" s="47"/>
      <c r="B16" s="47"/>
      <c r="D16" s="2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2026-09-28T14:52:48Z</dcterms:created>
  <dc:creator>openpyxl</dc:creator>
  <dc:description/>
  <dc:language>en-US</dc:language>
  <cp:lastModifiedBy/>
  <dcterms:modified xsi:type="dcterms:W3CDTF">2026-09-28T14:52:49Z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